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D81988D263DE45379EBC0258FB721FE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888075" y="904875"/>
          <a:ext cx="1583690" cy="11093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4EB0B9AB4AE040F1815F498ED81D78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888075" y="1768475"/>
          <a:ext cx="4695825" cy="6429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FE617329DFA5409F8A228A10B488670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183350" y="2555875"/>
          <a:ext cx="4953000" cy="7477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33C6AD07766A4139B42A3F9426F3CD0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1259800" y="2555875"/>
          <a:ext cx="5695950" cy="3810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8D6023C74FF94E0E8C11F8C48279A53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183350" y="3241675"/>
          <a:ext cx="5276850" cy="815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29F8870F510E4867BCD47EB35DF0903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259800" y="3241675"/>
          <a:ext cx="4619625" cy="5886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66920C590A29400B8580D7079D4C270C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145250" y="3800475"/>
          <a:ext cx="4848225" cy="52673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<sst xmlns="http://schemas.openxmlformats.org/spreadsheetml/2006/main" count="156" uniqueCount="134">
  <si>
    <t>激昂金狮子</t>
  </si>
  <si>
    <t>nActEm023::BackKick</t>
  </si>
  <si>
    <t>Back Kick</t>
  </si>
  <si>
    <t>后跳</t>
  </si>
  <si>
    <t>node_085</t>
  </si>
  <si>
    <t>nActEm023::TurnHookL</t>
  </si>
  <si>
    <t>Turn Hook L</t>
  </si>
  <si>
    <t>捞手</t>
  </si>
  <si>
    <t>node_025</t>
  </si>
  <si>
    <t>node_032（红手捞手派生三连砸）、node_061（红手捞手派生三连砸）</t>
  </si>
  <si>
    <t>节点</t>
  </si>
  <si>
    <t>计数器</t>
  </si>
  <si>
    <t>触发条件</t>
  </si>
  <si>
    <t>执行结果</t>
  </si>
  <si>
    <t>备注</t>
  </si>
  <si>
    <t>nActEm023::ExToJumpRollingAttackR</t>
  </si>
  <si>
    <t>Ex To Jump Rolling Attack R</t>
  </si>
  <si>
    <t>溜溜球</t>
  </si>
  <si>
    <t>node_023/(node_169溜溜球专属后跳)</t>
  </si>
  <si>
    <t>连段第一招node_112是溜溜球</t>
  </si>
  <si>
    <t>node_125</t>
  </si>
  <si>
    <t>RegisterVar12</t>
  </si>
  <si>
    <t>怒后</t>
  </si>
  <si>
    <t>根据血量和计数器值判断进红手</t>
  </si>
  <si>
    <t xml:space="preserve">血量阶梯：25/50/75
计数器值：2/4/6/8
</t>
  </si>
  <si>
    <t>血量越低，出招越少进红手</t>
  </si>
  <si>
    <t>nActEm023::StepR</t>
  </si>
  <si>
    <t>Step R</t>
  </si>
  <si>
    <t>侧跳</t>
  </si>
  <si>
    <t>node_082 、node_083、node_084</t>
  </si>
  <si>
    <t>连段第一招近距离是node102，1200距离进node87</t>
  </si>
  <si>
    <t>node_136</t>
  </si>
  <si>
    <t>RegisterVar10</t>
  </si>
  <si>
    <t>无</t>
  </si>
  <si>
    <t>计数器值来判断界王拳</t>
  </si>
  <si>
    <t>计数器值：5/6/7
界王拳概率：60/70/100</t>
  </si>
  <si>
    <t>当RegisterVar11&gt;=1就会出界王拳</t>
  </si>
  <si>
    <t>nActEm023::HeadButt</t>
  </si>
  <si>
    <t>Head Butt</t>
  </si>
  <si>
    <t>小掏/小挠</t>
  </si>
  <si>
    <t>node_026</t>
  </si>
  <si>
    <t>node_139</t>
  </si>
  <si>
    <t>RegisterVar4</t>
  </si>
  <si>
    <t>计数器值来保底出一个雷球</t>
  </si>
  <si>
    <t xml:space="preserve">计数器值：12/8/4
保底雷球概率：10/30/100
</t>
  </si>
  <si>
    <t>当达到12连段会强制出雷球</t>
  </si>
  <si>
    <t>nActEm023::JumpKiaiMultiBulletStart</t>
  </si>
  <si>
    <t>Jump Kiai Multi Bullet Start</t>
  </si>
  <si>
    <t>雷球</t>
  </si>
  <si>
    <t>node_043</t>
  </si>
  <si>
    <t>node_150</t>
  </si>
  <si>
    <t>RegisterVar1</t>
  </si>
  <si>
    <t>1000距离</t>
  </si>
  <si>
    <t>计数器来保底出单前顶或者后跳溜溜球</t>
  </si>
  <si>
    <t>大于等于16连段保底单前顶或者溜溜球</t>
  </si>
  <si>
    <t>nActEm023::SpinAttackStraight</t>
  </si>
  <si>
    <t>Spin Attack Straight</t>
  </si>
  <si>
    <t>360旋转</t>
  </si>
  <si>
    <t>node_021、node_022</t>
  </si>
  <si>
    <t>node_127</t>
  </si>
  <si>
    <t>RegisterVar14</t>
  </si>
  <si>
    <t>计数器控制捕食</t>
  </si>
  <si>
    <t>计数器值:5/8/10/15
捕食概率：30/50/70/100
捕食概率依次增高，直至100%</t>
  </si>
  <si>
    <t>nActEm023::ExKiaiBeam</t>
  </si>
  <si>
    <t>Ex Kiai Beam</t>
  </si>
  <si>
    <t>激光</t>
  </si>
  <si>
    <t xml:space="preserve">node_039 </t>
  </si>
  <si>
    <t>node_133</t>
  </si>
  <si>
    <t>[RegisterVar13</t>
  </si>
  <si>
    <t>2000距离和非2000距离</t>
  </si>
  <si>
    <t>计数器控制侧跳，后跳</t>
  </si>
  <si>
    <t>强制侧跳，必须要符合曾经有站远处的情况</t>
  </si>
  <si>
    <t>nActEm023::BodyPress</t>
  </si>
  <si>
    <t>Body Press</t>
  </si>
  <si>
    <t>下压</t>
  </si>
  <si>
    <t>node_024</t>
  </si>
  <si>
    <t>nActEm023::PumpUp</t>
  </si>
  <si>
    <t>Pump Up</t>
  </si>
  <si>
    <t>红手</t>
  </si>
  <si>
    <t>nActEm023::RushLongHorn2</t>
  </si>
  <si>
    <t>Rush Long Horn2</t>
  </si>
  <si>
    <t>前顶</t>
  </si>
  <si>
    <t>node_027（前顶可派生激光）node_028（单前顶）</t>
  </si>
  <si>
    <t>nActEm023::DivePunchStart</t>
  </si>
  <si>
    <t>Dive Punch Start</t>
  </si>
  <si>
    <t>飞拳</t>
  </si>
  <si>
    <t>node_044、node_045（44和45后续派生不一样）node_052、node_053、node_054、node_055、node_056</t>
  </si>
  <si>
    <t>nActEm023::DamageDownAvoidStart</t>
  </si>
  <si>
    <t>Damage Down Avoid Start</t>
  </si>
  <si>
    <t>扶墙成功</t>
  </si>
  <si>
    <t>nActEm023::ToDamageDownAvoidFailed</t>
  </si>
  <si>
    <t>To Damage Down Avoid Failed</t>
  </si>
  <si>
    <t>躺地上</t>
  </si>
  <si>
    <t>nActEm023::QuadruplePunchB</t>
  </si>
  <si>
    <t>Quadruple Punch B</t>
  </si>
  <si>
    <t>红手三连砸</t>
  </si>
  <si>
    <t>nActEm023::JumpPunch5wayThunder</t>
  </si>
  <si>
    <t>Jump Punch5way Thunder</t>
  </si>
  <si>
    <t>超解</t>
  </si>
  <si>
    <t>node_046</t>
  </si>
  <si>
    <t>nActEm023::ZigzagStep</t>
  </si>
  <si>
    <t>Zigzag Step</t>
  </si>
  <si>
    <t>z字跳</t>
  </si>
  <si>
    <t>node_029</t>
  </si>
  <si>
    <t>nActEm023::SpecialJumpAttack</t>
  </si>
  <si>
    <t>Special Jump Attack</t>
  </si>
  <si>
    <t>界王拳</t>
  </si>
  <si>
    <t>node_033</t>
  </si>
  <si>
    <t>nActEm023::DempseyAttack2</t>
  </si>
  <si>
    <t>Dempsey Attack2</t>
  </si>
  <si>
    <t>王八拳</t>
  </si>
  <si>
    <t>node_020</t>
  </si>
  <si>
    <t>捕食</t>
  </si>
  <si>
    <t>node_030</t>
  </si>
  <si>
    <t>扶墙后横扫激光</t>
  </si>
  <si>
    <t>node_042</t>
  </si>
  <si>
    <t xml:space="preserve">if function#2D(2) </t>
  </si>
  <si>
    <t>非激昂</t>
  </si>
  <si>
    <t xml:space="preserve">if function#D0(5) </t>
  </si>
  <si>
    <t>激昂</t>
  </si>
  <si>
    <t xml:space="preserve">if function#101() </t>
  </si>
  <si>
    <t>激昂红手</t>
  </si>
  <si>
    <t xml:space="preserve">if function#102() </t>
  </si>
  <si>
    <t>怒后非红手</t>
  </si>
  <si>
    <t>距离</t>
  </si>
  <si>
    <t>派生衔接</t>
  </si>
  <si>
    <t>概率</t>
  </si>
  <si>
    <t>近距离</t>
  </si>
  <si>
    <t>捞手接王八拳</t>
  </si>
  <si>
    <t>侧跳接王八拳</t>
  </si>
  <si>
    <t>王八拳接王八拳</t>
  </si>
  <si>
    <t>中远距离</t>
  </si>
  <si>
    <t>溜溜球下来接王八拳</t>
  </si>
  <si>
    <t>瞬发王八拳后跳派生瞬发王八拳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</si>
</sst>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justify" vertical="center"/>
    </xf>
    <xf numFmtId="0" fontId="0" fillId="0" borderId="2" xfId="0" applyBorder="1" applyAlignment="1">
      <alignment horizontal="justify" vertical="center"/>
    </xf>
    <xf numFmtId="0" fontId="0" fillId="0" borderId="3" xfId="0" applyBorder="1" applyAlignment="1">
      <alignment horizontal="justify" vertical="center"/>
    </xf>
    <xf numFmtId="0" fontId="0" fillId="0" borderId="4" xfId="0" applyBorder="1" applyAlignment="1">
      <alignment horizontal="justify" vertical="center"/>
    </xf>
    <xf numFmtId="0" fontId="0" fillId="0" borderId="1" xfId="0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tabSelected="1" topLeftCell="A8" workbookViewId="0">
      <selection activeCell="F21" sqref="F21"/>
    </sheetView>
  </sheetViews>
  <sheetFormatPr defaultColWidth="9" defaultRowHeight="14.25"/>
  <cols>
    <col min="1" max="1" width="13.375" customWidth="1"/>
    <col min="2" max="2" width="10" customWidth="1"/>
    <col min="3" max="3" width="37" customWidth="1"/>
    <col min="4" max="4" width="30.875" customWidth="1"/>
    <col min="5" max="5" width="12.375" style="2" customWidth="1"/>
    <col min="6" max="6" width="40.75" customWidth="1"/>
    <col min="7" max="7" width="38.125" customWidth="1"/>
    <col min="9" max="9" width="11.875" customWidth="1"/>
    <col min="10" max="10" width="13.125" customWidth="1"/>
    <col min="11" max="11" width="10.125" customWidth="1"/>
    <col min="12" max="12" width="24.625" customWidth="1"/>
    <col min="13" max="13" width="27.25" customWidth="1"/>
    <col min="14" max="14" width="23.75" customWidth="1"/>
    <col min="15" max="15" width="23.125" customWidth="1"/>
  </cols>
  <sheetData>
    <row r="1" s="1" customFormat="1" spans="1:11">
      <c r="A1" s="3" t="s">
        <v>0</v>
      </c>
      <c r="B1" s="3">
        <v>80</v>
      </c>
      <c r="C1" s="3" t="s">
        <v>1</v>
      </c>
      <c r="D1" s="3" t="s">
        <v>2</v>
      </c>
      <c r="E1" s="4" t="s">
        <v>3</v>
      </c>
      <c r="F1" s="3" t="s">
        <v>4</v>
      </c>
      <c r="G1" s="3"/>
      <c r="I1" s="11"/>
      <c r="J1" s="11"/>
      <c r="K1" s="11"/>
    </row>
    <row r="2" s="1" customFormat="1" ht="28.5" spans="1:15">
      <c r="A2" s="3" t="s">
        <v>0</v>
      </c>
      <c r="B2" s="3">
        <v>86</v>
      </c>
      <c r="C2" s="3" t="s">
        <v>5</v>
      </c>
      <c r="D2" s="3" t="s">
        <v>6</v>
      </c>
      <c r="E2" s="4" t="s">
        <v>7</v>
      </c>
      <c r="F2" s="3" t="s">
        <v>8</v>
      </c>
      <c r="G2" s="5" t="s">
        <v>9</v>
      </c>
      <c r="I2" s="12" t="s">
        <v>10</v>
      </c>
      <c r="J2" s="12" t="s">
        <v>11</v>
      </c>
      <c r="K2" s="12" t="s">
        <v>12</v>
      </c>
      <c r="L2" s="12" t="s">
        <v>13</v>
      </c>
      <c r="M2" s="13" t="s">
        <v>14</v>
      </c>
      <c r="N2" s="14"/>
      <c r="O2" s="15"/>
    </row>
    <row r="3" s="1" customFormat="1" ht="42.75" spans="1:15">
      <c r="A3" s="3" t="s">
        <v>0</v>
      </c>
      <c r="B3" s="3">
        <v>330</v>
      </c>
      <c r="C3" s="3" t="s">
        <v>15</v>
      </c>
      <c r="D3" s="3" t="s">
        <v>16</v>
      </c>
      <c r="E3" s="4" t="s">
        <v>17</v>
      </c>
      <c r="F3" s="3" t="s">
        <v>18</v>
      </c>
      <c r="G3" s="3" t="s">
        <v>19</v>
      </c>
      <c r="I3" s="12" t="s">
        <v>20</v>
      </c>
      <c r="J3" s="12" t="s">
        <v>21</v>
      </c>
      <c r="K3" s="12" t="s">
        <v>22</v>
      </c>
      <c r="L3" s="16" t="s">
        <v>23</v>
      </c>
      <c r="M3" s="16" t="s">
        <v>24</v>
      </c>
      <c r="N3" s="12" t="s">
        <v>25</v>
      </c>
      <c r="O3" s="12"/>
    </row>
    <row r="4" s="1" customFormat="1" ht="56" customHeight="1" spans="1:15">
      <c r="A4" s="3" t="s">
        <v>0</v>
      </c>
      <c r="B4" s="3">
        <v>50</v>
      </c>
      <c r="C4" s="3" t="s">
        <v>26</v>
      </c>
      <c r="D4" s="3" t="s">
        <v>27</v>
      </c>
      <c r="E4" s="4" t="s">
        <v>28</v>
      </c>
      <c r="F4" s="3" t="s">
        <v>29</v>
      </c>
      <c r="G4" s="4" t="s">
        <v>30</v>
      </c>
      <c r="I4" s="12" t="s">
        <v>31</v>
      </c>
      <c r="J4" s="12" t="s">
        <v>32</v>
      </c>
      <c r="K4" s="12" t="s">
        <v>33</v>
      </c>
      <c r="L4" s="12" t="s">
        <v>34</v>
      </c>
      <c r="M4" s="12" t="str">
        <f>_xlfn.DISPIMG("ID_D81988D263DE45379EBC0258FB721FE0",1)</f>
        <v>=DISPIMG("ID_D81988D263DE45379EBC0258FB721FE0",1)</v>
      </c>
      <c r="N4" s="16" t="s">
        <v>35</v>
      </c>
      <c r="O4" s="16" t="s">
        <v>36</v>
      </c>
    </row>
    <row r="5" s="1" customFormat="1" ht="62" customHeight="1" spans="1:15">
      <c r="A5" s="3" t="s">
        <v>0</v>
      </c>
      <c r="B5" s="3">
        <v>94</v>
      </c>
      <c r="C5" s="3" t="s">
        <v>37</v>
      </c>
      <c r="D5" s="3" t="s">
        <v>38</v>
      </c>
      <c r="E5" s="4" t="s">
        <v>39</v>
      </c>
      <c r="F5" s="3" t="s">
        <v>40</v>
      </c>
      <c r="G5" s="3"/>
      <c r="I5" s="12" t="s">
        <v>41</v>
      </c>
      <c r="J5" s="12" t="s">
        <v>42</v>
      </c>
      <c r="K5" s="12" t="s">
        <v>33</v>
      </c>
      <c r="L5" s="12" t="s">
        <v>43</v>
      </c>
      <c r="M5" s="12" t="str">
        <f>_xlfn.DISPIMG("ID_4EB0B9AB4AE040F1815F498ED81D7830",1)</f>
        <v>=DISPIMG("ID_4EB0B9AB4AE040F1815F498ED81D7830",1)</v>
      </c>
      <c r="N5" s="16" t="s">
        <v>44</v>
      </c>
      <c r="O5" s="16" t="s">
        <v>45</v>
      </c>
    </row>
    <row r="6" s="1" customFormat="1" ht="54" customHeight="1" spans="1:15">
      <c r="A6" s="3" t="s">
        <v>0</v>
      </c>
      <c r="B6" s="3">
        <v>307</v>
      </c>
      <c r="C6" s="3" t="s">
        <v>46</v>
      </c>
      <c r="D6" s="3" t="s">
        <v>47</v>
      </c>
      <c r="E6" s="4" t="s">
        <v>48</v>
      </c>
      <c r="F6" s="3" t="s">
        <v>49</v>
      </c>
      <c r="G6" s="3"/>
      <c r="I6" s="12" t="s">
        <v>50</v>
      </c>
      <c r="J6" s="12" t="s">
        <v>51</v>
      </c>
      <c r="K6" s="12" t="s">
        <v>52</v>
      </c>
      <c r="L6" s="16" t="s">
        <v>53</v>
      </c>
      <c r="M6" s="12" t="str">
        <f>_xlfn.DISPIMG("ID_FE617329DFA5409F8A228A10B4886701",1)</f>
        <v>=DISPIMG("ID_FE617329DFA5409F8A228A10B4886701",1)</v>
      </c>
      <c r="N6" s="12" t="str">
        <f>_xlfn.DISPIMG("ID_33C6AD07766A4139B42A3F9426F3CD00",1)</f>
        <v>=DISPIMG("ID_33C6AD07766A4139B42A3F9426F3CD00",1)</v>
      </c>
      <c r="O6" s="16" t="s">
        <v>54</v>
      </c>
    </row>
    <row r="7" s="1" customFormat="1" ht="61" customHeight="1" spans="1:15">
      <c r="A7" s="3" t="s">
        <v>0</v>
      </c>
      <c r="B7" s="3">
        <v>71</v>
      </c>
      <c r="C7" s="3" t="s">
        <v>55</v>
      </c>
      <c r="D7" s="3" t="s">
        <v>56</v>
      </c>
      <c r="E7" s="4" t="s">
        <v>57</v>
      </c>
      <c r="F7" s="3" t="s">
        <v>58</v>
      </c>
      <c r="G7" s="3"/>
      <c r="I7" s="12" t="s">
        <v>59</v>
      </c>
      <c r="J7" s="12" t="s">
        <v>60</v>
      </c>
      <c r="K7" s="12" t="s">
        <v>33</v>
      </c>
      <c r="L7" s="12" t="s">
        <v>61</v>
      </c>
      <c r="M7" s="12" t="str">
        <f>_xlfn.DISPIMG("ID_8D6023C74FF94E0E8C11F8C48279A53D",1)</f>
        <v>=DISPIMG("ID_8D6023C74FF94E0E8C11F8C48279A53D",1)</v>
      </c>
      <c r="N7" s="12" t="str">
        <f>_xlfn.DISPIMG("ID_29F8870F510E4867BCD47EB35DF09030",1)</f>
        <v>=DISPIMG("ID_29F8870F510E4867BCD47EB35DF09030",1)</v>
      </c>
      <c r="O7" s="16" t="s">
        <v>62</v>
      </c>
    </row>
    <row r="8" s="1" customFormat="1" ht="66" customHeight="1" spans="1:15">
      <c r="A8" s="3" t="s">
        <v>0</v>
      </c>
      <c r="B8" s="3">
        <v>325</v>
      </c>
      <c r="C8" s="3" t="s">
        <v>63</v>
      </c>
      <c r="D8" s="3" t="s">
        <v>64</v>
      </c>
      <c r="E8" s="4" t="s">
        <v>65</v>
      </c>
      <c r="F8" s="3" t="s">
        <v>66</v>
      </c>
      <c r="G8" s="3"/>
      <c r="I8" s="12" t="s">
        <v>67</v>
      </c>
      <c r="J8" s="12" t="s">
        <v>68</v>
      </c>
      <c r="K8" s="16" t="s">
        <v>69</v>
      </c>
      <c r="L8" s="12" t="s">
        <v>70</v>
      </c>
      <c r="M8" s="12" t="str">
        <f>_xlfn.DISPIMG("ID_66920C590A29400B8580D7079D4C270C",1)</f>
        <v>=DISPIMG("ID_66920C590A29400B8580D7079D4C270C",1)</v>
      </c>
      <c r="N8" s="16" t="s">
        <v>71</v>
      </c>
      <c r="O8" s="12"/>
    </row>
    <row r="9" s="1" customFormat="1" spans="1:7">
      <c r="A9" s="3" t="s">
        <v>0</v>
      </c>
      <c r="B9" s="3">
        <v>75</v>
      </c>
      <c r="C9" s="3" t="s">
        <v>72</v>
      </c>
      <c r="D9" s="3" t="s">
        <v>73</v>
      </c>
      <c r="E9" s="4" t="s">
        <v>74</v>
      </c>
      <c r="F9" s="3" t="s">
        <v>75</v>
      </c>
      <c r="G9" s="3"/>
    </row>
    <row r="10" s="1" customFormat="1" spans="1:7">
      <c r="A10" s="3" t="s">
        <v>0</v>
      </c>
      <c r="B10" s="3">
        <v>96</v>
      </c>
      <c r="C10" s="3" t="s">
        <v>76</v>
      </c>
      <c r="D10" s="3" t="s">
        <v>77</v>
      </c>
      <c r="E10" s="4" t="s">
        <v>78</v>
      </c>
      <c r="F10" s="3"/>
      <c r="G10" s="3"/>
    </row>
    <row r="11" s="1" customFormat="1" ht="28.5" spans="1:7">
      <c r="A11" s="3" t="s">
        <v>0</v>
      </c>
      <c r="B11" s="3">
        <v>91</v>
      </c>
      <c r="C11" s="3" t="s">
        <v>79</v>
      </c>
      <c r="D11" s="3" t="s">
        <v>80</v>
      </c>
      <c r="E11" s="4" t="s">
        <v>81</v>
      </c>
      <c r="F11" s="4" t="s">
        <v>82</v>
      </c>
      <c r="G11" s="3"/>
    </row>
    <row r="12" s="1" customFormat="1" ht="42.75" spans="1:7">
      <c r="A12" s="3" t="s">
        <v>0</v>
      </c>
      <c r="B12" s="3">
        <v>309</v>
      </c>
      <c r="C12" s="3" t="s">
        <v>83</v>
      </c>
      <c r="D12" s="3" t="s">
        <v>84</v>
      </c>
      <c r="E12" s="4" t="s">
        <v>85</v>
      </c>
      <c r="F12" s="4" t="s">
        <v>86</v>
      </c>
      <c r="G12" s="3"/>
    </row>
    <row r="13" s="1" customFormat="1" spans="1:7">
      <c r="A13" s="3" t="s">
        <v>0</v>
      </c>
      <c r="B13" s="3">
        <v>198</v>
      </c>
      <c r="C13" s="3" t="s">
        <v>87</v>
      </c>
      <c r="D13" s="3" t="s">
        <v>88</v>
      </c>
      <c r="E13" s="4" t="s">
        <v>89</v>
      </c>
      <c r="F13" s="3"/>
      <c r="G13" s="3"/>
    </row>
    <row r="14" s="1" customFormat="1" spans="1:7">
      <c r="A14" s="3" t="s">
        <v>0</v>
      </c>
      <c r="B14" s="3">
        <v>201</v>
      </c>
      <c r="C14" s="3" t="s">
        <v>90</v>
      </c>
      <c r="D14" s="3" t="s">
        <v>91</v>
      </c>
      <c r="E14" s="4" t="s">
        <v>92</v>
      </c>
      <c r="F14" s="3"/>
      <c r="G14" s="3"/>
    </row>
    <row r="15" s="1" customFormat="1" spans="1:7">
      <c r="A15" s="3" t="s">
        <v>0</v>
      </c>
      <c r="B15" s="3">
        <v>326</v>
      </c>
      <c r="C15" s="3" t="s">
        <v>93</v>
      </c>
      <c r="D15" s="3" t="s">
        <v>94</v>
      </c>
      <c r="E15" s="4" t="s">
        <v>95</v>
      </c>
      <c r="F15" s="3"/>
      <c r="G15" s="3"/>
    </row>
    <row r="16" s="1" customFormat="1" spans="1:7">
      <c r="A16" s="3" t="s">
        <v>0</v>
      </c>
      <c r="B16" s="3">
        <v>316</v>
      </c>
      <c r="C16" s="3" t="s">
        <v>96</v>
      </c>
      <c r="D16" s="3" t="s">
        <v>97</v>
      </c>
      <c r="E16" s="4" t="s">
        <v>98</v>
      </c>
      <c r="F16" s="3" t="s">
        <v>99</v>
      </c>
      <c r="G16" s="3"/>
    </row>
    <row r="17" s="1" customFormat="1" spans="1:7">
      <c r="A17" s="3" t="s">
        <v>0</v>
      </c>
      <c r="B17" s="3">
        <v>72</v>
      </c>
      <c r="C17" s="3" t="s">
        <v>100</v>
      </c>
      <c r="D17" s="3" t="s">
        <v>101</v>
      </c>
      <c r="E17" s="4" t="s">
        <v>102</v>
      </c>
      <c r="F17" s="3" t="s">
        <v>103</v>
      </c>
      <c r="G17" s="3"/>
    </row>
    <row r="18" s="1" customFormat="1" spans="1:7">
      <c r="A18" s="3" t="s">
        <v>0</v>
      </c>
      <c r="B18" s="3">
        <v>81</v>
      </c>
      <c r="C18" s="3" t="s">
        <v>104</v>
      </c>
      <c r="D18" s="3" t="s">
        <v>105</v>
      </c>
      <c r="E18" s="4" t="s">
        <v>106</v>
      </c>
      <c r="F18" s="3" t="s">
        <v>107</v>
      </c>
      <c r="G18" s="3"/>
    </row>
    <row r="19" s="1" customFormat="1" spans="1:7">
      <c r="A19" s="3" t="s">
        <v>0</v>
      </c>
      <c r="B19" s="3">
        <v>64</v>
      </c>
      <c r="C19" s="3" t="s">
        <v>108</v>
      </c>
      <c r="D19" s="3" t="s">
        <v>109</v>
      </c>
      <c r="E19" s="4" t="s">
        <v>110</v>
      </c>
      <c r="F19" s="3" t="s">
        <v>111</v>
      </c>
      <c r="G19" s="3"/>
    </row>
    <row r="20" spans="4:7">
      <c r="D20" s="6"/>
      <c r="E20" s="7" t="s">
        <v>112</v>
      </c>
      <c r="F20" s="6" t="s">
        <v>113</v>
      </c>
      <c r="G20" s="6"/>
    </row>
    <row r="21" ht="28.5" spans="4:7">
      <c r="D21" s="6"/>
      <c r="E21" s="7" t="s">
        <v>114</v>
      </c>
      <c r="F21" s="6" t="s">
        <v>115</v>
      </c>
      <c r="G21" s="6"/>
    </row>
    <row r="22" spans="4:7">
      <c r="D22" s="6" t="s">
        <v>116</v>
      </c>
      <c r="E22" s="7" t="s">
        <v>117</v>
      </c>
      <c r="F22" s="6"/>
      <c r="G22" s="6"/>
    </row>
    <row r="23" spans="4:7">
      <c r="D23" s="6" t="s">
        <v>118</v>
      </c>
      <c r="E23" s="7" t="s">
        <v>119</v>
      </c>
      <c r="F23" s="6"/>
      <c r="G23" s="6"/>
    </row>
    <row r="24" spans="4:7">
      <c r="D24" s="6" t="s">
        <v>120</v>
      </c>
      <c r="E24" s="7" t="s">
        <v>121</v>
      </c>
      <c r="F24" s="6"/>
      <c r="G24" s="6"/>
    </row>
    <row r="25" spans="4:7">
      <c r="D25" s="6" t="s">
        <v>122</v>
      </c>
      <c r="E25" s="8" t="s">
        <v>123</v>
      </c>
      <c r="F25" s="6"/>
      <c r="G25" s="6"/>
    </row>
    <row r="27" spans="3:5">
      <c r="C27" s="9" t="s">
        <v>124</v>
      </c>
      <c r="D27" s="9" t="s">
        <v>125</v>
      </c>
      <c r="E27" s="5" t="s">
        <v>126</v>
      </c>
    </row>
    <row r="28" spans="3:5">
      <c r="C28" s="9" t="s">
        <v>127</v>
      </c>
      <c r="D28" s="9" t="s">
        <v>128</v>
      </c>
      <c r="E28" s="10">
        <v>0.2</v>
      </c>
    </row>
    <row r="29" spans="3:5">
      <c r="C29" s="9" t="s">
        <v>127</v>
      </c>
      <c r="D29" s="9" t="s">
        <v>129</v>
      </c>
      <c r="E29" s="10">
        <v>0.2</v>
      </c>
    </row>
    <row r="30" spans="3:5">
      <c r="C30" s="9" t="s">
        <v>127</v>
      </c>
      <c r="D30" s="9" t="s">
        <v>130</v>
      </c>
      <c r="E30" s="10">
        <v>0.2</v>
      </c>
    </row>
    <row r="31" spans="3:5">
      <c r="C31" s="9" t="s">
        <v>131</v>
      </c>
      <c r="D31" s="9" t="s">
        <v>132</v>
      </c>
      <c r="E31" s="10">
        <v>0.25</v>
      </c>
    </row>
    <row r="32" spans="3:5">
      <c r="C32" s="9"/>
      <c r="D32" s="9" t="s">
        <v>133</v>
      </c>
      <c r="E32" s="10">
        <v>0.25</v>
      </c>
    </row>
  </sheetData>
  <mergeCells count="2">
    <mergeCell ref="I1:K1"/>
    <mergeCell ref="M2:O2"/>
  </mergeCells>
  <conditionalFormatting sqref="E2:E18">
    <cfRule type="cellIs" dxfId="0" priority="1" operator="equal">
      <formula>$E$91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FengQingYang</dc:creator>
  <cp:lastModifiedBy>°ら风清扬℡ </cp:lastModifiedBy>
  <dcterms:created xsi:type="dcterms:W3CDTF">2015-06-05T18:19:00Z</dcterms:created>
  <dcterms:modified xsi:type="dcterms:W3CDTF">2026-10-13T12:48:39Z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57156BBB1976482B976D312A96AE41F5_13</vt:lpwstr>
  </property>
</Properties>
</file>